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filterPrivacy="1" codeName="ЭтаКнига1"/>
  <xr:revisionPtr revIDLastSave="0" documentId="13_ncr:1_{29AED881-7604-4BD9-9A78-69F4945976FF}" xr6:coauthVersionLast="36" xr6:coauthVersionMax="47" xr10:uidLastSave="{00000000-0000-0000-0000-000000000000}"/>
  <bookViews>
    <workbookView xWindow="0" yWindow="0" windowWidth="21570" windowHeight="7680" xr2:uid="{00000000-000D-0000-FFFF-FFFF00000000}"/>
  </bookViews>
  <sheets>
    <sheet name="Задача на оптимизацию" sheetId="13" r:id="rId1"/>
  </sheets>
  <definedNames>
    <definedName name="solver_adj" localSheetId="0" hidden="1">'Задача на оптимизацию'!$C$9:$G$9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'Задача на оптимизацию'!$C$9:$G$9</definedName>
    <definedName name="solver_lhs2" localSheetId="0" hidden="1">'Задача на оптимизацию'!$C$9:$G$9</definedName>
    <definedName name="solver_lhs3" localSheetId="0" hidden="1">'Задача на оптимизацию'!$I$3</definedName>
    <definedName name="solver_lhs4" localSheetId="0" hidden="1">'Задача на оптимизацию'!$I$4</definedName>
    <definedName name="solver_lhs5" localSheetId="0" hidden="1">'Задача на оптимизацию'!$I$5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'Задача на оптимизацию'!$C$14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2" localSheetId="0" hidden="1">3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hs1" localSheetId="0" hidden="1">"целое"</definedName>
    <definedName name="solver_rhs2" localSheetId="0" hidden="1">0</definedName>
    <definedName name="solver_rhs3" localSheetId="0" hidden="1">'Задача на оптимизацию'!$J$3</definedName>
    <definedName name="solver_rhs4" localSheetId="0" hidden="1">'Задача на оптимизацию'!$J$4</definedName>
    <definedName name="solver_rhs5" localSheetId="0" hidden="1">'Задача на оптимизацию'!$J$5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3" l="1"/>
  <c r="J3" i="13"/>
  <c r="I3" i="13"/>
  <c r="C14" i="13"/>
  <c r="C12" i="13"/>
  <c r="D12" i="13"/>
  <c r="E12" i="13"/>
  <c r="F12" i="13"/>
  <c r="G12" i="13"/>
  <c r="J5" i="13" l="1"/>
  <c r="I5" i="13"/>
  <c r="J4" i="13"/>
</calcChain>
</file>

<file path=xl/sharedStrings.xml><?xml version="1.0" encoding="utf-8"?>
<sst xmlns="http://schemas.openxmlformats.org/spreadsheetml/2006/main" count="22" uniqueCount="22">
  <si>
    <t>Всего</t>
  </si>
  <si>
    <t>Вид датчика</t>
  </si>
  <si>
    <t>Количество датчиков на 1 район покрытия по соответствующему способу размещения, шт</t>
  </si>
  <si>
    <t>Количество датчиков на1  район покрытия, шт.</t>
  </si>
  <si>
    <r>
      <t>D</t>
    </r>
    <r>
      <rPr>
        <i/>
        <vertAlign val="subscript"/>
        <sz val="11"/>
        <color theme="1"/>
        <rFont val="Times New Roman"/>
        <family val="1"/>
        <charset val="204"/>
      </rPr>
      <t>1</t>
    </r>
  </si>
  <si>
    <r>
      <t>D</t>
    </r>
    <r>
      <rPr>
        <i/>
        <vertAlign val="subscript"/>
        <sz val="11"/>
        <color theme="1"/>
        <rFont val="Times New Roman"/>
        <family val="1"/>
        <charset val="204"/>
      </rPr>
      <t>2</t>
    </r>
  </si>
  <si>
    <r>
      <t>D</t>
    </r>
    <r>
      <rPr>
        <i/>
        <vertAlign val="subscript"/>
        <sz val="11"/>
        <color theme="1"/>
        <rFont val="Times New Roman"/>
        <family val="1"/>
        <charset val="204"/>
      </rPr>
      <t>3</t>
    </r>
  </si>
  <si>
    <r>
      <t>Площадь поверхности, покрываемая датчиком, км</t>
    </r>
    <r>
      <rPr>
        <vertAlign val="superscript"/>
        <sz val="11"/>
        <color theme="1"/>
        <rFont val="Times New Roman"/>
        <family val="1"/>
        <charset val="204"/>
      </rPr>
      <t>2</t>
    </r>
  </si>
  <si>
    <t>Всего необходимо покрыть R районов:</t>
  </si>
  <si>
    <r>
      <t>Площадь одного района покрытия F, км</t>
    </r>
    <r>
      <rPr>
        <vertAlign val="superscript"/>
        <sz val="10"/>
        <color theme="1"/>
        <rFont val="Times New Roman"/>
        <family val="1"/>
        <charset val="204"/>
      </rPr>
      <t>2</t>
    </r>
  </si>
  <si>
    <t>X1</t>
  </si>
  <si>
    <t>X2</t>
  </si>
  <si>
    <t>X3</t>
  </si>
  <si>
    <t>X4</t>
  </si>
  <si>
    <t>X5</t>
  </si>
  <si>
    <t>Целевая</t>
  </si>
  <si>
    <t>Факт</t>
  </si>
  <si>
    <t>Непокрытая площадь 1</t>
  </si>
  <si>
    <t>Непокрытая площадь 2</t>
  </si>
  <si>
    <t>Непокрытая площадь 3</t>
  </si>
  <si>
    <t>Непокрытая площадь 4</t>
  </si>
  <si>
    <t>Непокрытая площадь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</si>
</sst>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  <charset val="204"/>
    </font>
    <font>
      <i/>
      <vertAlign val="subscript"/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vertAlign val="superscript"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Border="1" applyAlignment="1"/>
    <xf numFmtId="0" fontId="6" fillId="0" borderId="2" xfId="0" applyFont="1" applyBorder="1" applyAlignment="1"/>
    <xf numFmtId="0" fontId="4" fillId="2" borderId="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2" borderId="1" xfId="0" applyFill="1" applyBorder="1"/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1"/>
  <dimension ref="A1:J14"/>
  <sheetViews>
    <sheetView tabSelected="1" workbookViewId="0">
      <selection activeCell="I5" sqref="I5"/>
    </sheetView>
  </sheetViews>
  <sheetFormatPr defaultColWidth="8.85546875" defaultRowHeight="15" x14ac:dyDescent="0.25"/>
  <cols>
    <col min="1" max="1" width="11.85546875" customWidth="1"/>
    <col min="2" max="2" width="15.42578125" customWidth="1"/>
    <col min="3" max="3" width="13.140625" customWidth="1"/>
    <col min="4" max="5" width="12.7109375" customWidth="1"/>
    <col min="6" max="6" width="13.140625" customWidth="1"/>
    <col min="7" max="7" width="14" customWidth="1"/>
    <col min="8" max="8" width="15" customWidth="1"/>
  </cols>
  <sheetData>
    <row r="1" spans="1:10" ht="50.25" customHeight="1" x14ac:dyDescent="0.25">
      <c r="A1" s="16" t="s">
        <v>1</v>
      </c>
      <c r="B1" s="17" t="s">
        <v>7</v>
      </c>
      <c r="C1" s="17" t="s">
        <v>2</v>
      </c>
      <c r="D1" s="17"/>
      <c r="E1" s="17"/>
      <c r="F1" s="17"/>
      <c r="G1" s="17"/>
      <c r="H1" s="17" t="s">
        <v>3</v>
      </c>
    </row>
    <row r="2" spans="1:10" ht="12.75" customHeight="1" x14ac:dyDescent="0.25">
      <c r="A2" s="16"/>
      <c r="B2" s="17"/>
      <c r="C2" s="5">
        <v>1</v>
      </c>
      <c r="D2" s="5">
        <v>2</v>
      </c>
      <c r="E2" s="5">
        <v>3</v>
      </c>
      <c r="F2" s="5">
        <v>4</v>
      </c>
      <c r="G2" s="5">
        <v>5</v>
      </c>
      <c r="H2" s="17"/>
      <c r="I2" s="1" t="s">
        <v>16</v>
      </c>
      <c r="J2" s="1" t="s">
        <v>0</v>
      </c>
    </row>
    <row r="3" spans="1:10" ht="16.5" x14ac:dyDescent="0.25">
      <c r="A3" s="4" t="s">
        <v>4</v>
      </c>
      <c r="B3" s="6">
        <v>3.4</v>
      </c>
      <c r="C3" s="7">
        <v>2</v>
      </c>
      <c r="D3" s="7">
        <v>1</v>
      </c>
      <c r="E3" s="7">
        <v>1</v>
      </c>
      <c r="F3" s="7">
        <v>0</v>
      </c>
      <c r="G3" s="7">
        <v>0</v>
      </c>
      <c r="H3" s="7">
        <v>6</v>
      </c>
      <c r="I3" s="13">
        <f>$C$9*C3+$D$9*D3+$E$9*E3+$F$9*F3+$G$9*G3</f>
        <v>600</v>
      </c>
      <c r="J3" s="14">
        <f>$E$7*H3</f>
        <v>600</v>
      </c>
    </row>
    <row r="4" spans="1:10" ht="16.5" x14ac:dyDescent="0.25">
      <c r="A4" s="4" t="s">
        <v>5</v>
      </c>
      <c r="B4" s="6">
        <v>5.4</v>
      </c>
      <c r="C4" s="7">
        <v>0</v>
      </c>
      <c r="D4" s="7">
        <v>1</v>
      </c>
      <c r="E4" s="7">
        <v>0</v>
      </c>
      <c r="F4" s="7">
        <v>1</v>
      </c>
      <c r="G4" s="7">
        <v>0</v>
      </c>
      <c r="H4" s="7">
        <v>4</v>
      </c>
      <c r="I4" s="13">
        <f>$C$9*C4+$D$9*D4+$E$9*E4+$F$9*F4+$G$9*G4</f>
        <v>400</v>
      </c>
      <c r="J4" s="14">
        <f t="shared" ref="J4:J5" si="0">$E$7*H4</f>
        <v>400</v>
      </c>
    </row>
    <row r="5" spans="1:10" ht="16.5" x14ac:dyDescent="0.25">
      <c r="A5" s="4" t="s">
        <v>6</v>
      </c>
      <c r="B5" s="6">
        <v>3</v>
      </c>
      <c r="C5" s="7">
        <v>0</v>
      </c>
      <c r="D5" s="7">
        <v>0</v>
      </c>
      <c r="E5" s="7">
        <v>2</v>
      </c>
      <c r="F5" s="7">
        <v>1</v>
      </c>
      <c r="G5" s="7">
        <v>3</v>
      </c>
      <c r="H5" s="7">
        <v>7</v>
      </c>
      <c r="I5" s="13">
        <f t="shared" ref="I5" si="1">$C$9*C5+$D$9*D5+$E$9*E5+$F$9*F5+$G$9*G5</f>
        <v>700</v>
      </c>
      <c r="J5" s="14">
        <f t="shared" si="0"/>
        <v>700</v>
      </c>
    </row>
    <row r="6" spans="1:10" ht="16.5" x14ac:dyDescent="0.25">
      <c r="A6" s="8" t="s">
        <v>9</v>
      </c>
      <c r="B6" s="8"/>
      <c r="C6" s="8"/>
      <c r="D6" s="8"/>
      <c r="E6" s="7">
        <v>10</v>
      </c>
    </row>
    <row r="7" spans="1:10" x14ac:dyDescent="0.25">
      <c r="A7" s="8" t="s">
        <v>8</v>
      </c>
      <c r="B7" s="8"/>
      <c r="C7" s="9"/>
      <c r="D7" s="9"/>
      <c r="E7" s="10">
        <v>100</v>
      </c>
    </row>
    <row r="8" spans="1:10" x14ac:dyDescent="0.25">
      <c r="C8" s="2" t="s">
        <v>10</v>
      </c>
      <c r="D8" s="2" t="s">
        <v>11</v>
      </c>
      <c r="E8" s="2" t="s">
        <v>12</v>
      </c>
      <c r="F8" s="2" t="s">
        <v>13</v>
      </c>
      <c r="G8" s="2" t="s">
        <v>14</v>
      </c>
    </row>
    <row r="9" spans="1:10" x14ac:dyDescent="0.25">
      <c r="C9" s="11">
        <v>0</v>
      </c>
      <c r="D9" s="11">
        <v>400</v>
      </c>
      <c r="E9" s="12">
        <v>200</v>
      </c>
      <c r="F9" s="11">
        <v>0</v>
      </c>
      <c r="G9" s="11">
        <v>100</v>
      </c>
    </row>
    <row r="11" spans="1:10" ht="30" x14ac:dyDescent="0.25">
      <c r="C11" s="15" t="s">
        <v>17</v>
      </c>
      <c r="D11" s="15" t="s">
        <v>18</v>
      </c>
      <c r="E11" s="15" t="s">
        <v>19</v>
      </c>
      <c r="F11" s="15" t="s">
        <v>20</v>
      </c>
      <c r="G11" s="15" t="s">
        <v>21</v>
      </c>
    </row>
    <row r="12" spans="1:10" x14ac:dyDescent="0.25">
      <c r="C12" s="13">
        <f>$E$6-($B$3*C3+$B$4*C4+$B$5*C5)</f>
        <v>3.2</v>
      </c>
      <c r="D12" s="13">
        <f>$E$6-($B$3*D3+$B$4*D4+$B$5*D5)</f>
        <v>1.1999999999999993</v>
      </c>
      <c r="E12" s="13">
        <f>$E$6-($B$3*E3+$B$4*E4+$B$5*E5)</f>
        <v>0.59999999999999964</v>
      </c>
      <c r="F12" s="13">
        <f>$E$6-($B$3*F3+$B$4*F4+$B$5*F5)</f>
        <v>1.5999999999999996</v>
      </c>
      <c r="G12" s="13">
        <f>$E$6-($B$3*G3+$B$4*G4+$B$5*G5)</f>
        <v>1</v>
      </c>
    </row>
    <row r="14" spans="1:10" x14ac:dyDescent="0.25">
      <c r="B14" s="3" t="s">
        <v>15</v>
      </c>
      <c r="C14" s="13">
        <f>C9*C12+D9*D12+E9*E12+F9*F12+G9*G12</f>
        <v>699.99999999999966</v>
      </c>
    </row>
  </sheetData>
  <mergeCells count="4">
    <mergeCell ref="A1:A2"/>
    <mergeCell ref="B1:B2"/>
    <mergeCell ref="C1:G1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Задача на оптимизацию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2022-01-14T09:08:44Z</dcterms:modified>
</cp:coreProperties>
</file>